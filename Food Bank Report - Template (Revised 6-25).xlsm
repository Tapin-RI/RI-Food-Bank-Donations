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a987c244e8e03aa/Desktop/Tapin/RI Food Bank/"/>
    </mc:Choice>
  </mc:AlternateContent>
  <xr:revisionPtr revIDLastSave="2" documentId="8_{58D661E5-7A75-4B16-A26E-E7797D1AC6D4}" xr6:coauthVersionLast="47" xr6:coauthVersionMax="47" xr10:uidLastSave="{E5C4E5A9-B15B-41F5-96F9-8B54EC20EE2C}"/>
  <bookViews>
    <workbookView xWindow="3510" yWindow="3510" windowWidth="28800" windowHeight="15345" activeTab="4" xr2:uid="{7E81611E-4FA5-49B9-B18C-6FCDAA3A540D}"/>
  </bookViews>
  <sheets>
    <sheet name="Formatted Data" sheetId="1" r:id="rId1"/>
    <sheet name="Salesforce Import Data" sheetId="5" r:id="rId2"/>
    <sheet name="Data Insert" sheetId="2" r:id="rId3"/>
    <sheet name="Product Categories" sheetId="3" r:id="rId4"/>
    <sheet name="Instructions" sheetId="4" r:id="rId5"/>
  </sheets>
  <definedNames>
    <definedName name="_xlnm._FilterDatabase" localSheetId="0" hidden="1">'Formatted Data'!$A$1:$C$8</definedName>
    <definedName name="_xlnm._FilterDatabase" localSheetId="1" hidden="1">'Salesforce Import Data'!$A$1:$F$8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5" l="1"/>
  <c r="F4" i="5"/>
  <c r="F5" i="5"/>
  <c r="F6" i="5"/>
  <c r="F7" i="5"/>
  <c r="F8" i="5"/>
  <c r="F2" i="5"/>
  <c r="E3" i="5"/>
  <c r="E4" i="5"/>
  <c r="E5" i="5"/>
  <c r="E6" i="5"/>
  <c r="E7" i="5"/>
  <c r="E8" i="5"/>
  <c r="E2" i="5"/>
  <c r="A2" i="2"/>
  <c r="B2" i="1" s="1"/>
  <c r="B2" i="5" s="1"/>
  <c r="B3" i="1" l="1"/>
  <c r="B3" i="5" s="1"/>
  <c r="C7" i="1"/>
  <c r="C7" i="5" s="1"/>
  <c r="D2" i="5"/>
  <c r="C8" i="1"/>
  <c r="C8" i="5" s="1"/>
  <c r="B4" i="1"/>
  <c r="B5" i="1"/>
  <c r="B6" i="1"/>
  <c r="B7" i="1"/>
  <c r="B8" i="1"/>
  <c r="C2" i="1"/>
  <c r="C2" i="5" s="1"/>
  <c r="C3" i="1"/>
  <c r="C3" i="5" s="1"/>
  <c r="C4" i="1"/>
  <c r="C4" i="5" s="1"/>
  <c r="C5" i="1"/>
  <c r="C5" i="5" s="1"/>
  <c r="C6" i="1"/>
  <c r="C6" i="5" s="1"/>
  <c r="D3" i="5" l="1"/>
  <c r="C9" i="1"/>
  <c r="B8" i="5"/>
  <c r="D8" i="5"/>
  <c r="B7" i="5"/>
  <c r="D7" i="5"/>
  <c r="B6" i="5"/>
  <c r="D6" i="5"/>
  <c r="B5" i="5"/>
  <c r="D5" i="5"/>
  <c r="B4" i="5"/>
  <c r="D4" i="5"/>
  <c r="B9" i="1"/>
</calcChain>
</file>

<file path=xl/sharedStrings.xml><?xml version="1.0" encoding="utf-8"?>
<sst xmlns="http://schemas.openxmlformats.org/spreadsheetml/2006/main" count="104" uniqueCount="61">
  <si>
    <t>Category</t>
  </si>
  <si>
    <t>Total Weight</t>
  </si>
  <si>
    <t>Purchase Cost</t>
  </si>
  <si>
    <t>Product Type</t>
  </si>
  <si>
    <t>Tap-In Category</t>
  </si>
  <si>
    <t xml:space="preserve">02 - </t>
  </si>
  <si>
    <t>03 - Beverages</t>
  </si>
  <si>
    <t>04 - Bread &amp; Bakery</t>
  </si>
  <si>
    <t>05 - Cereal</t>
  </si>
  <si>
    <t>06 - Complete Meals/Entrees, Soups</t>
  </si>
  <si>
    <t>07 - Dairy</t>
  </si>
  <si>
    <t>08 -</t>
  </si>
  <si>
    <t>09 - Dressing</t>
  </si>
  <si>
    <t>10 - Fruits (Canned/Frozen)</t>
  </si>
  <si>
    <t>11 - Grains</t>
  </si>
  <si>
    <t>Toiletries</t>
  </si>
  <si>
    <t>13 - Household Cleaning *</t>
  </si>
  <si>
    <t>14 - Juices</t>
  </si>
  <si>
    <t>15 - Meats/Fish/Poultry</t>
  </si>
  <si>
    <t>17 - Health/Beauty Care</t>
  </si>
  <si>
    <t>19 - Paper-Household *</t>
  </si>
  <si>
    <t>20 - Paper Products-Personal</t>
  </si>
  <si>
    <t>21 - Pasta</t>
  </si>
  <si>
    <t>22 - Produce</t>
  </si>
  <si>
    <t>23 - Protein (non-meat)</t>
  </si>
  <si>
    <t>24 - Rice</t>
  </si>
  <si>
    <t>25 - Snack Foods/Cookies</t>
  </si>
  <si>
    <t>26 - Spices/Condiments, Sauces</t>
  </si>
  <si>
    <t>27 - Vegetables (Canned/Frozen)</t>
  </si>
  <si>
    <t>28 - Produce</t>
  </si>
  <si>
    <t>Product Category</t>
  </si>
  <si>
    <t>30 TEFAP Dry</t>
  </si>
  <si>
    <t>31 TEFAP Cooler</t>
  </si>
  <si>
    <t>32 TEFAP Frozen</t>
  </si>
  <si>
    <t>33 TEFAP Produce</t>
  </si>
  <si>
    <t>Food</t>
  </si>
  <si>
    <t>Food, TEFAP</t>
  </si>
  <si>
    <t>Household Items</t>
  </si>
  <si>
    <t>Produce</t>
  </si>
  <si>
    <t>Produce, TEFAP</t>
  </si>
  <si>
    <t>Food, Other</t>
  </si>
  <si>
    <t>Total</t>
  </si>
  <si>
    <t>Tapin Category</t>
  </si>
  <si>
    <t>Item Name</t>
  </si>
  <si>
    <t>Food Bank Category</t>
  </si>
  <si>
    <t>Food Bank Type</t>
  </si>
  <si>
    <t>Item Weight</t>
  </si>
  <si>
    <t>Service Fee</t>
  </si>
  <si>
    <t>Food Bank Reference</t>
  </si>
  <si>
    <t>12 - Health/Beauty Care *</t>
  </si>
  <si>
    <t>Item Value</t>
  </si>
  <si>
    <t>Goods Type</t>
  </si>
  <si>
    <t>Weight (lb)</t>
  </si>
  <si>
    <t>Tap-In Expense ($)</t>
  </si>
  <si>
    <t>Value</t>
  </si>
  <si>
    <t>Account</t>
  </si>
  <si>
    <t>Date Received</t>
  </si>
  <si>
    <t>Food Value Rate ($/lb):</t>
  </si>
  <si>
    <t>Date (MM/DD/YYYY):</t>
  </si>
  <si>
    <t>01 - Assorted Non-Foods *</t>
  </si>
  <si>
    <t>https://github.com/Tapin-RI/RI-Food-Bank-Donations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</si>
</sst>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164" formatCode="&quot;$&quot;#,##0.00"/>
    <numFmt numFmtId="165" formatCode="[$$-409]#,##0.00;[$$-409]\-#,##0.00"/>
    <numFmt numFmtId="166" formatCode="mm/dd/yyyy;@"/>
  </numFmts>
  <fonts count="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b/>
      <sz val="10"/>
      <color indexed="8"/>
      <name val="Aptos Narrow"/>
      <family val="2"/>
      <scheme val="minor"/>
    </font>
    <font>
      <sz val="10"/>
      <color indexed="8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 style="double">
        <color theme="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double">
        <color theme="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2">
    <xf numFmtId="0" fontId="0" fillId="0" borderId="0" xfId="0"/>
    <xf numFmtId="0" fontId="3" fillId="0" borderId="0" xfId="0" applyFont="1" applyAlignment="1">
      <alignment vertical="top"/>
    </xf>
    <xf numFmtId="0" fontId="2" fillId="0" borderId="2" xfId="0" applyFont="1" applyBorder="1"/>
    <xf numFmtId="3" fontId="3" fillId="0" borderId="0" xfId="0" applyNumberFormat="1" applyFont="1" applyAlignment="1">
      <alignment vertical="top"/>
    </xf>
    <xf numFmtId="165" fontId="3" fillId="0" borderId="0" xfId="0" applyNumberFormat="1" applyFont="1" applyAlignment="1">
      <alignment vertical="top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0" fillId="3" borderId="4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2" fontId="2" fillId="0" borderId="1" xfId="0" applyNumberFormat="1" applyFont="1" applyBorder="1"/>
    <xf numFmtId="164" fontId="2" fillId="0" borderId="3" xfId="0" applyNumberFormat="1" applyFont="1" applyBorder="1"/>
    <xf numFmtId="166" fontId="0" fillId="0" borderId="0" xfId="0" applyNumberFormat="1"/>
    <xf numFmtId="0" fontId="5" fillId="0" borderId="0" xfId="0" applyFont="1" applyAlignment="1">
      <alignment horizontal="left" vertical="top"/>
    </xf>
    <xf numFmtId="0" fontId="5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2" fillId="4" borderId="0" xfId="0" applyFont="1" applyFill="1" applyAlignment="1">
      <alignment horizontal="center" vertical="center"/>
    </xf>
    <xf numFmtId="0" fontId="0" fillId="0" borderId="7" xfId="0" applyBorder="1"/>
    <xf numFmtId="2" fontId="0" fillId="3" borderId="6" xfId="0" applyNumberFormat="1" applyFill="1" applyBorder="1"/>
    <xf numFmtId="2" fontId="0" fillId="0" borderId="6" xfId="0" applyNumberFormat="1" applyBorder="1"/>
    <xf numFmtId="0" fontId="1" fillId="5" borderId="0" xfId="0" applyFont="1" applyFill="1" applyAlignment="1">
      <alignment horizontal="center" vertical="center"/>
    </xf>
    <xf numFmtId="8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6" fontId="0" fillId="6" borderId="0" xfId="0" applyNumberFormat="1" applyFill="1" applyAlignment="1">
      <alignment horizontal="center" vertical="center"/>
    </xf>
    <xf numFmtId="0" fontId="6" fillId="0" borderId="0" xfId="1"/>
  </cellXfs>
  <cellStyles count="2">
    <cellStyle name="Hyperlink" xfId="1" builtinId="8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65" formatCode="[$$-409]#,##0.00;[$$-409]\-#,##0.0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65" formatCode="[$$-409]#,##0.00;[$$-409]\-#,##0.0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65" formatCode="[$$-409]#,##0.00;[$$-409]\-#,##0.0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general" vertical="top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5EE7BD4-2CD1-4B30-9E15-7F431888760D}" name="Inserted_Data" displayName="Inserted_Data" ref="A1:I2" totalsRowShown="0" headerRowDxfId="10" dataDxfId="9">
  <autoFilter ref="A1:I2" xr:uid="{65EE7BD4-2CD1-4B30-9E15-7F431888760D}"/>
  <tableColumns count="9">
    <tableColumn id="1" xr3:uid="{C01FF018-C794-4899-846A-AF3B2D9B5D2A}" name="Tapin Category" dataDxfId="8">
      <calculatedColumnFormula>IF(AND(E2&lt;&gt;"30 TEFAP DRY",E2&lt;&gt;"31 TEFAP Cooler",E2&lt;&gt;"32 TEFAP Frozen",E2&lt;&gt;"33 TEFAP Produce"), VLOOKUP(D2,'Product Categories'!$A$2:$B$31,2,FALSE), VLOOKUP(E2,'Product Categories'!$D$2:$E$5,2,FALSE))</calculatedColumnFormula>
    </tableColumn>
    <tableColumn id="2" xr3:uid="{9748BB0E-B933-417D-A442-E29D45824102}" name="Food Bank Reference" dataDxfId="7"/>
    <tableColumn id="3" xr3:uid="{E803A57B-B9A3-40CA-9A9F-C116EFCD6802}" name="Item Name" dataDxfId="6"/>
    <tableColumn id="4" xr3:uid="{95AE3873-2836-4E9D-A139-8874ED3492FF}" name="Food Bank Type" dataDxfId="5"/>
    <tableColumn id="5" xr3:uid="{6F7FC82E-B870-4155-96FF-EF762FFE44EE}" name="Food Bank Category" dataDxfId="4"/>
    <tableColumn id="6" xr3:uid="{5088068F-B8F8-4706-AE32-8851B00D97F1}" name="Item Weight" dataDxfId="3"/>
    <tableColumn id="7" xr3:uid="{1EBC3B1F-B440-4D72-BA02-B99D08AC0B03}" name="Service Fee" dataDxfId="2"/>
    <tableColumn id="8" xr3:uid="{276F2340-B121-4A24-893D-8AD5532F80A7}" name="Purchase Cost" dataDxfId="1"/>
    <tableColumn id="9" xr3:uid="{3AF91093-9B2B-4A5F-8AC9-5F09D56BE9F8}" name="Item Value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Tapin-RI/RI-Food-Bank-Donation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05231-ACDE-4575-B03C-25B48998A1C0}">
  <sheetPr codeName="Sheet1"/>
  <dimension ref="A1:C9"/>
  <sheetViews>
    <sheetView zoomScaleNormal="100" workbookViewId="0">
      <selection activeCell="D2" sqref="D2"/>
    </sheetView>
  </sheetViews>
  <sheetFormatPr defaultRowHeight="15" x14ac:dyDescent="0.25"/>
  <cols>
    <col min="1" max="1" width="15.85546875" bestFit="1" customWidth="1"/>
    <col min="2" max="2" width="18.140625" customWidth="1"/>
    <col min="3" max="3" width="18.42578125" customWidth="1"/>
  </cols>
  <sheetData>
    <row r="1" spans="1:3" x14ac:dyDescent="0.25">
      <c r="A1" s="7" t="s">
        <v>0</v>
      </c>
      <c r="B1" s="8" t="s">
        <v>1</v>
      </c>
      <c r="C1" s="9" t="s">
        <v>2</v>
      </c>
    </row>
    <row r="2" spans="1:3" x14ac:dyDescent="0.25">
      <c r="A2" s="10" t="s">
        <v>35</v>
      </c>
      <c r="B2" s="11">
        <f>SUMIFS(Inserted_Data[Item Weight],Inserted_Data[Tapin Category],"Food")</f>
        <v>0</v>
      </c>
      <c r="C2" s="25">
        <f>SUMIFS(Inserted_Data[Purchase Cost],Inserted_Data[Tapin Category],"Food")</f>
        <v>0</v>
      </c>
    </row>
    <row r="3" spans="1:3" x14ac:dyDescent="0.25">
      <c r="A3" s="12" t="s">
        <v>36</v>
      </c>
      <c r="B3" s="13">
        <f>SUMIFS(Inserted_Data[Item Weight],Inserted_Data[Tapin Category],"Food, TEFAP")</f>
        <v>0</v>
      </c>
      <c r="C3" s="26">
        <f>SUMIFS(Inserted_Data[Purchase Cost],Inserted_Data[Tapin Category],"Food, TEFAP")</f>
        <v>0</v>
      </c>
    </row>
    <row r="4" spans="1:3" x14ac:dyDescent="0.25">
      <c r="A4" s="10" t="s">
        <v>40</v>
      </c>
      <c r="B4" s="11">
        <f>SUMIFS(Inserted_Data[Item Weight],Inserted_Data[Tapin Category],"Food, Other")</f>
        <v>0</v>
      </c>
      <c r="C4" s="25">
        <f>SUMIFS(Inserted_Data[Purchase Cost],Inserted_Data[Tapin Category],"Food, Other")</f>
        <v>0</v>
      </c>
    </row>
    <row r="5" spans="1:3" x14ac:dyDescent="0.25">
      <c r="A5" s="12" t="s">
        <v>37</v>
      </c>
      <c r="B5" s="13">
        <f>SUMIFS(Inserted_Data[Item Weight],Inserted_Data[Tapin Category],"Household Items")</f>
        <v>0</v>
      </c>
      <c r="C5" s="26">
        <f>SUMIFS(Inserted_Data[Purchase Cost],Inserted_Data[Tapin Category],"Household Items")</f>
        <v>0</v>
      </c>
    </row>
    <row r="6" spans="1:3" x14ac:dyDescent="0.25">
      <c r="A6" s="10" t="s">
        <v>38</v>
      </c>
      <c r="B6" s="11">
        <f>SUMIFS(Inserted_Data[Item Weight],Inserted_Data[Tapin Category],"Produce")</f>
        <v>0</v>
      </c>
      <c r="C6" s="25">
        <f>SUMIFS(Inserted_Data[Purchase Cost],Inserted_Data[Tapin Category],"Produce")</f>
        <v>0</v>
      </c>
    </row>
    <row r="7" spans="1:3" x14ac:dyDescent="0.25">
      <c r="A7" s="12" t="s">
        <v>39</v>
      </c>
      <c r="B7" s="13">
        <f>SUMIFS(Inserted_Data[Item Weight],Inserted_Data[Tapin Category],"Produce, TEFAP")</f>
        <v>0</v>
      </c>
      <c r="C7" s="26">
        <f>SUMIFS(Inserted_Data[Purchase Cost],Inserted_Data[Tapin Category],"Produce, TEFAP")</f>
        <v>0</v>
      </c>
    </row>
    <row r="8" spans="1:3" ht="15.75" thickBot="1" x14ac:dyDescent="0.3">
      <c r="A8" s="10" t="s">
        <v>15</v>
      </c>
      <c r="B8" s="11">
        <f>SUMIFS(Inserted_Data[Item Weight],Inserted_Data[Tapin Category],"Toiletries")</f>
        <v>0</v>
      </c>
      <c r="C8" s="25">
        <f>SUMIFS(Inserted_Data[Purchase Cost],Inserted_Data[Tapin Category],"Toiletries")</f>
        <v>0</v>
      </c>
    </row>
    <row r="9" spans="1:3" ht="15.75" thickTop="1" x14ac:dyDescent="0.25">
      <c r="A9" s="2" t="s">
        <v>41</v>
      </c>
      <c r="B9" s="14" t="str">
        <f>SUM(B2:B8)&amp;" lbs"</f>
        <v>0 lbs</v>
      </c>
      <c r="C9" s="15">
        <f>SUM(C2:C8)</f>
        <v>0</v>
      </c>
    </row>
  </sheetData>
  <autoFilter ref="A1:C8" xr:uid="{ACD05231-ACDE-4575-B03C-25B48998A1C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F4E7C-26BF-4734-9B3E-D7ED27F50B8F}">
  <sheetPr codeName="Sheet2" filterMode="1">
    <pageSetUpPr autoPageBreaks="0"/>
  </sheetPr>
  <dimension ref="A1:F8"/>
  <sheetViews>
    <sheetView workbookViewId="0">
      <selection activeCell="D35" sqref="D35"/>
    </sheetView>
  </sheetViews>
  <sheetFormatPr defaultRowHeight="15" x14ac:dyDescent="0.25"/>
  <cols>
    <col min="1" max="1" width="19.7109375" customWidth="1"/>
    <col min="2" max="2" width="15.42578125" customWidth="1"/>
    <col min="3" max="3" width="22.7109375" customWidth="1"/>
    <col min="4" max="4" width="17.28515625" customWidth="1"/>
    <col min="5" max="5" width="24.5703125" customWidth="1"/>
    <col min="6" max="6" width="20.28515625" customWidth="1"/>
  </cols>
  <sheetData>
    <row r="1" spans="1:6" ht="28.9" customHeight="1" x14ac:dyDescent="0.25">
      <c r="A1" s="23" t="s">
        <v>51</v>
      </c>
      <c r="B1" s="23" t="s">
        <v>52</v>
      </c>
      <c r="C1" s="23" t="s">
        <v>53</v>
      </c>
      <c r="D1" s="23" t="s">
        <v>54</v>
      </c>
      <c r="E1" s="23" t="s">
        <v>55</v>
      </c>
      <c r="F1" s="23" t="s">
        <v>56</v>
      </c>
    </row>
    <row r="2" spans="1:6" x14ac:dyDescent="0.25">
      <c r="A2" s="24" t="s">
        <v>35</v>
      </c>
      <c r="B2">
        <f>'Formatted Data'!B2</f>
        <v>0</v>
      </c>
      <c r="C2">
        <f>'Formatted Data'!C2</f>
        <v>0</v>
      </c>
      <c r="D2">
        <f>'Formatted Data'!B2*'Data Insert'!$L$1</f>
        <v>0</v>
      </c>
      <c r="E2" t="str">
        <f>"0013h00000QYleGAAT"</f>
        <v>0013h00000QYleGAAT</v>
      </c>
      <c r="F2" s="16">
        <f>'Data Insert'!$L$3</f>
        <v>45658</v>
      </c>
    </row>
    <row r="3" spans="1:6" x14ac:dyDescent="0.25">
      <c r="A3" s="24" t="s">
        <v>36</v>
      </c>
      <c r="B3">
        <f>'Formatted Data'!B3</f>
        <v>0</v>
      </c>
      <c r="C3">
        <f>'Formatted Data'!C3</f>
        <v>0</v>
      </c>
      <c r="D3">
        <f>'Formatted Data'!B3*'Data Insert'!$L$1</f>
        <v>0</v>
      </c>
      <c r="E3" t="str">
        <f t="shared" ref="E3:E8" si="0">"0013h00000QYleGAAT"</f>
        <v>0013h00000QYleGAAT</v>
      </c>
      <c r="F3" s="16">
        <f>'Data Insert'!$L$3</f>
        <v>45658</v>
      </c>
    </row>
    <row r="4" spans="1:6" x14ac:dyDescent="0.25">
      <c r="A4" s="24" t="s">
        <v>40</v>
      </c>
      <c r="B4">
        <f>'Formatted Data'!B4</f>
        <v>0</v>
      </c>
      <c r="C4">
        <f>'Formatted Data'!C4</f>
        <v>0</v>
      </c>
      <c r="D4">
        <f>'Formatted Data'!B4*'Data Insert'!$L$1</f>
        <v>0</v>
      </c>
      <c r="E4" t="str">
        <f t="shared" si="0"/>
        <v>0013h00000QYleGAAT</v>
      </c>
      <c r="F4" s="16">
        <f>'Data Insert'!$L$3</f>
        <v>45658</v>
      </c>
    </row>
    <row r="5" spans="1:6" hidden="1" x14ac:dyDescent="0.25">
      <c r="A5" s="24" t="s">
        <v>37</v>
      </c>
      <c r="B5">
        <f>'Formatted Data'!B5</f>
        <v>0</v>
      </c>
      <c r="C5">
        <f>'Formatted Data'!C5</f>
        <v>0</v>
      </c>
      <c r="D5">
        <f>'Formatted Data'!B5*'Data Insert'!$L$1</f>
        <v>0</v>
      </c>
      <c r="E5" t="str">
        <f t="shared" si="0"/>
        <v>0013h00000QYleGAAT</v>
      </c>
      <c r="F5">
        <f>'Data Insert'!$L$3</f>
        <v>45658</v>
      </c>
    </row>
    <row r="6" spans="1:6" x14ac:dyDescent="0.25">
      <c r="A6" s="24" t="s">
        <v>38</v>
      </c>
      <c r="B6">
        <f>'Formatted Data'!B6</f>
        <v>0</v>
      </c>
      <c r="C6">
        <f>'Formatted Data'!C6</f>
        <v>0</v>
      </c>
      <c r="D6">
        <f>'Formatted Data'!B6*'Data Insert'!$L$1</f>
        <v>0</v>
      </c>
      <c r="E6" t="str">
        <f t="shared" si="0"/>
        <v>0013h00000QYleGAAT</v>
      </c>
      <c r="F6" s="16">
        <f>'Data Insert'!$L$3</f>
        <v>45658</v>
      </c>
    </row>
    <row r="7" spans="1:6" x14ac:dyDescent="0.25">
      <c r="A7" s="24" t="s">
        <v>39</v>
      </c>
      <c r="B7">
        <f>'Formatted Data'!B7</f>
        <v>0</v>
      </c>
      <c r="C7">
        <f>'Formatted Data'!C7</f>
        <v>0</v>
      </c>
      <c r="D7">
        <f>'Formatted Data'!B7*'Data Insert'!$L$1</f>
        <v>0</v>
      </c>
      <c r="E7" t="str">
        <f t="shared" si="0"/>
        <v>0013h00000QYleGAAT</v>
      </c>
      <c r="F7" s="16">
        <f>'Data Insert'!$L$3</f>
        <v>45658</v>
      </c>
    </row>
    <row r="8" spans="1:6" x14ac:dyDescent="0.25">
      <c r="A8" s="24" t="s">
        <v>15</v>
      </c>
      <c r="B8">
        <f>'Formatted Data'!B8</f>
        <v>0</v>
      </c>
      <c r="C8">
        <f>'Formatted Data'!C8</f>
        <v>0</v>
      </c>
      <c r="D8">
        <f>'Formatted Data'!B8*'Data Insert'!$L$1</f>
        <v>0</v>
      </c>
      <c r="E8" t="str">
        <f t="shared" si="0"/>
        <v>0013h00000QYleGAAT</v>
      </c>
      <c r="F8" s="16">
        <f>'Data Insert'!$L$3</f>
        <v>45658</v>
      </c>
    </row>
  </sheetData>
  <autoFilter ref="A1:F8" xr:uid="{BBBF4E7C-26BF-4734-9B3E-D7ED27F50B8F}">
    <filterColumn colId="1">
      <filters>
        <filter val="108"/>
        <filter val="179"/>
        <filter val="3480"/>
        <filter val="6295.6"/>
        <filter val="68"/>
        <filter val="761"/>
      </filters>
    </filterColumn>
  </autoFilter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6D650-5C93-4019-92F0-83DCCBA1B216}">
  <sheetPr codeName="Sheet3"/>
  <dimension ref="A1:L4"/>
  <sheetViews>
    <sheetView topLeftCell="C1" workbookViewId="0">
      <selection activeCell="L5" sqref="L5"/>
    </sheetView>
  </sheetViews>
  <sheetFormatPr defaultRowHeight="15" x14ac:dyDescent="0.25"/>
  <cols>
    <col min="1" max="1" width="30.5703125" customWidth="1"/>
    <col min="2" max="2" width="25.28515625" customWidth="1"/>
    <col min="3" max="3" width="44.28515625" customWidth="1"/>
    <col min="4" max="4" width="32.42578125" customWidth="1"/>
    <col min="5" max="5" width="45.28515625" customWidth="1"/>
    <col min="6" max="6" width="15.5703125" customWidth="1"/>
    <col min="7" max="7" width="16.5703125" customWidth="1"/>
    <col min="8" max="8" width="16" customWidth="1"/>
    <col min="9" max="9" width="16.42578125" customWidth="1"/>
    <col min="11" max="11" width="22.5703125" customWidth="1"/>
    <col min="12" max="12" width="19.28515625" customWidth="1"/>
  </cols>
  <sheetData>
    <row r="1" spans="1:12" x14ac:dyDescent="0.25">
      <c r="A1" s="5" t="s">
        <v>42</v>
      </c>
      <c r="B1" s="6" t="s">
        <v>48</v>
      </c>
      <c r="C1" s="6" t="s">
        <v>43</v>
      </c>
      <c r="D1" s="6" t="s">
        <v>45</v>
      </c>
      <c r="E1" s="6" t="s">
        <v>44</v>
      </c>
      <c r="F1" s="6" t="s">
        <v>46</v>
      </c>
      <c r="G1" s="6" t="s">
        <v>47</v>
      </c>
      <c r="H1" s="6" t="s">
        <v>2</v>
      </c>
      <c r="I1" s="6" t="s">
        <v>50</v>
      </c>
      <c r="K1" s="27" t="s">
        <v>57</v>
      </c>
      <c r="L1" s="28">
        <v>1.92</v>
      </c>
    </row>
    <row r="2" spans="1:12" x14ac:dyDescent="0.25">
      <c r="A2" t="e">
        <f>IF(AND(E2&lt;&gt;"30 TEFAP DRY",E2&lt;&gt;"31 TEFAP Cooler",E2&lt;&gt;"32 TEFAP Frozen",E2&lt;&gt;"33 TEFAP Produce"), VLOOKUP(D2,'Product Categories'!$A$2:$B$31,2,FALSE), VLOOKUP(E2,'Product Categories'!$D$2:$E$5,2,FALSE))</f>
        <v>#N/A</v>
      </c>
      <c r="B2" s="1"/>
      <c r="C2" s="1"/>
      <c r="D2" s="1"/>
      <c r="E2" s="1"/>
      <c r="F2" s="3"/>
      <c r="G2" s="4"/>
      <c r="H2" s="4"/>
      <c r="I2" s="4"/>
      <c r="K2" s="27"/>
      <c r="L2" s="29"/>
    </row>
    <row r="3" spans="1:12" x14ac:dyDescent="0.25">
      <c r="K3" s="27" t="s">
        <v>58</v>
      </c>
      <c r="L3" s="30">
        <v>45658</v>
      </c>
    </row>
    <row r="4" spans="1:12" x14ac:dyDescent="0.25">
      <c r="K4" s="27"/>
      <c r="L4" s="30"/>
    </row>
  </sheetData>
  <mergeCells count="4">
    <mergeCell ref="K1:K2"/>
    <mergeCell ref="L1:L2"/>
    <mergeCell ref="K3:K4"/>
    <mergeCell ref="L3:L4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86046-18B5-4956-B6D7-19C27C69DC28}">
  <sheetPr codeName="Sheet4"/>
  <dimension ref="A1:E31"/>
  <sheetViews>
    <sheetView workbookViewId="0">
      <selection activeCell="B3" sqref="B3"/>
    </sheetView>
  </sheetViews>
  <sheetFormatPr defaultRowHeight="15" x14ac:dyDescent="0.25"/>
  <cols>
    <col min="1" max="1" width="31.140625" bestFit="1" customWidth="1"/>
    <col min="2" max="2" width="16" bestFit="1" customWidth="1"/>
    <col min="4" max="4" width="16.85546875" bestFit="1" customWidth="1"/>
    <col min="5" max="5" width="15.140625" bestFit="1" customWidth="1"/>
  </cols>
  <sheetData>
    <row r="1" spans="1:5" ht="32.450000000000003" customHeight="1" x14ac:dyDescent="0.25">
      <c r="A1" s="20" t="s">
        <v>3</v>
      </c>
      <c r="B1" s="20" t="s">
        <v>4</v>
      </c>
      <c r="C1" s="22"/>
      <c r="D1" s="21" t="s">
        <v>30</v>
      </c>
      <c r="E1" s="20" t="s">
        <v>4</v>
      </c>
    </row>
    <row r="2" spans="1:5" x14ac:dyDescent="0.25">
      <c r="A2" s="17" t="s">
        <v>59</v>
      </c>
      <c r="B2" s="18" t="s">
        <v>40</v>
      </c>
      <c r="D2" s="17" t="s">
        <v>31</v>
      </c>
      <c r="E2" s="18" t="s">
        <v>36</v>
      </c>
    </row>
    <row r="3" spans="1:5" x14ac:dyDescent="0.25">
      <c r="A3" s="17" t="s">
        <v>5</v>
      </c>
      <c r="B3" s="18" t="s">
        <v>35</v>
      </c>
      <c r="D3" s="17" t="s">
        <v>32</v>
      </c>
      <c r="E3" s="18" t="s">
        <v>36</v>
      </c>
    </row>
    <row r="4" spans="1:5" x14ac:dyDescent="0.25">
      <c r="A4" s="17" t="s">
        <v>6</v>
      </c>
      <c r="B4" s="18" t="s">
        <v>35</v>
      </c>
      <c r="D4" s="17" t="s">
        <v>33</v>
      </c>
      <c r="E4" s="18" t="s">
        <v>36</v>
      </c>
    </row>
    <row r="5" spans="1:5" x14ac:dyDescent="0.25">
      <c r="A5" s="17" t="s">
        <v>7</v>
      </c>
      <c r="B5" s="18" t="s">
        <v>35</v>
      </c>
      <c r="D5" s="17" t="s">
        <v>34</v>
      </c>
      <c r="E5" s="18" t="s">
        <v>39</v>
      </c>
    </row>
    <row r="6" spans="1:5" x14ac:dyDescent="0.25">
      <c r="A6" s="17" t="s">
        <v>8</v>
      </c>
      <c r="B6" s="18" t="s">
        <v>35</v>
      </c>
    </row>
    <row r="7" spans="1:5" x14ac:dyDescent="0.25">
      <c r="A7" s="17" t="s">
        <v>9</v>
      </c>
      <c r="B7" s="18" t="s">
        <v>35</v>
      </c>
    </row>
    <row r="8" spans="1:5" x14ac:dyDescent="0.25">
      <c r="A8" s="17" t="s">
        <v>10</v>
      </c>
      <c r="B8" s="18" t="s">
        <v>35</v>
      </c>
    </row>
    <row r="9" spans="1:5" x14ac:dyDescent="0.25">
      <c r="A9" s="17" t="s">
        <v>11</v>
      </c>
      <c r="B9" s="18" t="s">
        <v>35</v>
      </c>
    </row>
    <row r="10" spans="1:5" x14ac:dyDescent="0.25">
      <c r="A10" s="17" t="s">
        <v>12</v>
      </c>
      <c r="B10" s="18" t="s">
        <v>35</v>
      </c>
    </row>
    <row r="11" spans="1:5" x14ac:dyDescent="0.25">
      <c r="A11" s="17" t="s">
        <v>13</v>
      </c>
      <c r="B11" s="18" t="s">
        <v>35</v>
      </c>
    </row>
    <row r="12" spans="1:5" x14ac:dyDescent="0.25">
      <c r="A12" s="17" t="s">
        <v>14</v>
      </c>
      <c r="B12" s="18" t="s">
        <v>35</v>
      </c>
    </row>
    <row r="13" spans="1:5" x14ac:dyDescent="0.25">
      <c r="A13" s="17" t="s">
        <v>49</v>
      </c>
      <c r="B13" s="18" t="s">
        <v>15</v>
      </c>
    </row>
    <row r="14" spans="1:5" x14ac:dyDescent="0.25">
      <c r="A14" s="17" t="s">
        <v>16</v>
      </c>
      <c r="B14" s="18" t="s">
        <v>37</v>
      </c>
    </row>
    <row r="15" spans="1:5" x14ac:dyDescent="0.25">
      <c r="A15" s="17" t="s">
        <v>17</v>
      </c>
      <c r="B15" s="18" t="s">
        <v>35</v>
      </c>
    </row>
    <row r="16" spans="1:5" x14ac:dyDescent="0.25">
      <c r="A16" s="17" t="s">
        <v>18</v>
      </c>
      <c r="B16" s="18" t="s">
        <v>35</v>
      </c>
    </row>
    <row r="17" spans="1:2" x14ac:dyDescent="0.25">
      <c r="A17" s="17">
        <v>16</v>
      </c>
      <c r="B17" s="18" t="s">
        <v>35</v>
      </c>
    </row>
    <row r="18" spans="1:2" x14ac:dyDescent="0.25">
      <c r="A18" s="17" t="s">
        <v>19</v>
      </c>
      <c r="B18" s="18" t="s">
        <v>15</v>
      </c>
    </row>
    <row r="19" spans="1:2" x14ac:dyDescent="0.25">
      <c r="A19" s="17">
        <v>18</v>
      </c>
      <c r="B19" s="18" t="s">
        <v>35</v>
      </c>
    </row>
    <row r="20" spans="1:2" x14ac:dyDescent="0.25">
      <c r="A20" s="17" t="s">
        <v>20</v>
      </c>
      <c r="B20" s="18" t="s">
        <v>40</v>
      </c>
    </row>
    <row r="21" spans="1:2" x14ac:dyDescent="0.25">
      <c r="A21" s="17" t="s">
        <v>21</v>
      </c>
      <c r="B21" s="18" t="s">
        <v>40</v>
      </c>
    </row>
    <row r="22" spans="1:2" x14ac:dyDescent="0.25">
      <c r="A22" s="17" t="s">
        <v>22</v>
      </c>
      <c r="B22" s="18" t="s">
        <v>35</v>
      </c>
    </row>
    <row r="23" spans="1:2" x14ac:dyDescent="0.25">
      <c r="A23" s="17" t="s">
        <v>23</v>
      </c>
      <c r="B23" s="18" t="s">
        <v>38</v>
      </c>
    </row>
    <row r="24" spans="1:2" x14ac:dyDescent="0.25">
      <c r="A24" s="17" t="s">
        <v>24</v>
      </c>
      <c r="B24" s="18" t="s">
        <v>35</v>
      </c>
    </row>
    <row r="25" spans="1:2" x14ac:dyDescent="0.25">
      <c r="A25" s="17" t="s">
        <v>25</v>
      </c>
      <c r="B25" s="18" t="s">
        <v>35</v>
      </c>
    </row>
    <row r="26" spans="1:2" x14ac:dyDescent="0.25">
      <c r="A26" s="17" t="s">
        <v>26</v>
      </c>
      <c r="B26" s="18" t="s">
        <v>35</v>
      </c>
    </row>
    <row r="27" spans="1:2" x14ac:dyDescent="0.25">
      <c r="A27" s="17" t="s">
        <v>27</v>
      </c>
      <c r="B27" s="18" t="s">
        <v>35</v>
      </c>
    </row>
    <row r="28" spans="1:2" x14ac:dyDescent="0.25">
      <c r="A28" s="17" t="s">
        <v>28</v>
      </c>
      <c r="B28" s="18" t="s">
        <v>35</v>
      </c>
    </row>
    <row r="29" spans="1:2" x14ac:dyDescent="0.25">
      <c r="A29" s="17" t="s">
        <v>29</v>
      </c>
      <c r="B29" s="18" t="s">
        <v>38</v>
      </c>
    </row>
    <row r="30" spans="1:2" x14ac:dyDescent="0.25">
      <c r="A30" s="19">
        <v>29</v>
      </c>
      <c r="B30" s="18" t="s">
        <v>35</v>
      </c>
    </row>
    <row r="31" spans="1:2" x14ac:dyDescent="0.25">
      <c r="A31" s="19">
        <v>30</v>
      </c>
      <c r="B31" s="18" t="s">
        <v>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976A1-0D56-4B59-B787-14A0304793A5}">
  <sheetPr codeName="Sheet5"/>
  <dimension ref="A1"/>
  <sheetViews>
    <sheetView tabSelected="1" workbookViewId="0">
      <selection activeCell="A5" sqref="A5"/>
    </sheetView>
  </sheetViews>
  <sheetFormatPr defaultRowHeight="15" x14ac:dyDescent="0.25"/>
  <cols>
    <col min="1" max="1" width="67.42578125" customWidth="1"/>
  </cols>
  <sheetData>
    <row r="1" spans="1:1" x14ac:dyDescent="0.25">
      <c r="A1" s="31" t="s">
        <v>60</v>
      </c>
    </row>
  </sheetData>
  <hyperlinks>
    <hyperlink ref="A1" r:id="rId1" xr:uid="{E32F32C0-E555-4EB0-A047-11F356E57D7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Formatted Data</vt:lpstr>
      <vt:lpstr>Salesforce Import Data</vt:lpstr>
      <vt:lpstr>Data Insert</vt:lpstr>
      <vt:lpstr>Product Categories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Landon Montecalvo</dc:creator>
  <cp:lastModifiedBy>Landon Montecalvo</cp:lastModifiedBy>
  <cp:lastPrinted>2025-06-18T15:13:08Z</cp:lastPrinted>
  <dcterms:created xsi:type="dcterms:W3CDTF">2025-06-18T01:09:47Z</dcterms:created>
  <dcterms:modified xsi:type="dcterms:W3CDTF">2025-07-31T23:43:46Z</dcterms:modified>
</cp:coreProperties>
</file>